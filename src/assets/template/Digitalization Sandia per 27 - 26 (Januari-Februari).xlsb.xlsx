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P241123004\Downloads\"/>
    </mc:Choice>
  </mc:AlternateContent>
  <xr:revisionPtr revIDLastSave="0" documentId="8_{FFCA49F6-BBC1-480F-8A0F-D06257B586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Yosua Nainggolan" sheetId="1" r:id="rId1"/>
    <sheet name="Holida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5" i="1"/>
  <c r="G34" i="1"/>
  <c r="G33" i="1"/>
  <c r="G30" i="1"/>
  <c r="G29" i="1"/>
  <c r="G28" i="1"/>
  <c r="G26" i="1"/>
  <c r="G23" i="1"/>
  <c r="G22" i="1"/>
  <c r="G21" i="1"/>
  <c r="G20" i="1"/>
  <c r="G19" i="1"/>
  <c r="G16" i="1"/>
  <c r="G15" i="1"/>
  <c r="G14" i="1"/>
  <c r="G13" i="1"/>
  <c r="G12" i="1"/>
  <c r="G7" i="1"/>
  <c r="G6" i="1"/>
  <c r="G9" i="1"/>
  <c r="G8" i="1"/>
  <c r="D39" i="1"/>
  <c r="D42" i="1" l="1"/>
</calcChain>
</file>

<file path=xl/sharedStrings.xml><?xml version="1.0" encoding="utf-8"?>
<sst xmlns="http://schemas.openxmlformats.org/spreadsheetml/2006/main" count="149" uniqueCount="47">
  <si>
    <t>NIK</t>
  </si>
  <si>
    <t>Nama</t>
  </si>
  <si>
    <t>Tanggal</t>
  </si>
  <si>
    <t>Jam Mulai</t>
  </si>
  <si>
    <t>Jam Berakhir</t>
  </si>
  <si>
    <t>Durasi Kerja</t>
  </si>
  <si>
    <t>Deskripsi Pekerjaan</t>
  </si>
  <si>
    <t xml:space="preserve">Atasan / Jabatan </t>
  </si>
  <si>
    <t>Keterangan Lainnya</t>
  </si>
  <si>
    <t>P241123004</t>
  </si>
  <si>
    <t>Yosua Parjuangan</t>
  </si>
  <si>
    <t>Suport testing digitalisasi Invoice &amp; PO</t>
  </si>
  <si>
    <t>Thomson Nainggolan</t>
  </si>
  <si>
    <t>PAS2-3058-adjust wording push notif validate PO</t>
  </si>
  <si>
    <t>PAS2-3079-Tracing endpoint error repo apigocommonnew</t>
  </si>
  <si>
    <t>PAS2-3079-Tracing endpoint error repo apigocommon</t>
  </si>
  <si>
    <t>Libur</t>
  </si>
  <si>
    <t>PAS2-3120-Submit cancel order to bafpro</t>
  </si>
  <si>
    <t>PAS2-3079-Tracing endpoint error repo apigoordernew</t>
  </si>
  <si>
    <t>Support deploy</t>
  </si>
  <si>
    <t>PAS2-3177-check API CONFINS</t>
  </si>
  <si>
    <t>PAS2-3111-adjust QDE DS Car</t>
  </si>
  <si>
    <t>PAS2-3302-adjust submitFDE general getDataOrder</t>
  </si>
  <si>
    <t>PAS2-3301 &amp; PAS2-3306-adjust submitFDE General</t>
  </si>
  <si>
    <t>PAS2-3341-adjust PaymentMethod BAFK1LAT</t>
  </si>
  <si>
    <t>Testing check API upgrade version golang</t>
  </si>
  <si>
    <t>PAS2-3342-adjust qde ds v2</t>
  </si>
  <si>
    <t>PAS2-3344-adjust beatrice offline param usr_crt</t>
  </si>
  <si>
    <t>PAS2-3346-adjust sendtransaction usr_crt</t>
  </si>
  <si>
    <t>PAS2-3349-adjust submit FDE general getFDEdata</t>
  </si>
  <si>
    <t>PAS2-3374-adjust handler submit FDE General</t>
  </si>
  <si>
    <t>PAS2-3362-adjust CheckReferantor</t>
  </si>
  <si>
    <t>PAS2-3368-adjust BAFK1LAT validation InquiryProcessed</t>
  </si>
  <si>
    <t>Total hari kerja</t>
  </si>
  <si>
    <t>Total kehadiran hari libur</t>
  </si>
  <si>
    <t>Sakit/Izin/Cuti</t>
  </si>
  <si>
    <t>Kehadiran</t>
  </si>
  <si>
    <t>Dibuat oleh</t>
  </si>
  <si>
    <t>Diketahui oleh</t>
  </si>
  <si>
    <t>Disetujui oleh</t>
  </si>
  <si>
    <t>mampus harus pakai nomor jira</t>
  </si>
  <si>
    <t>Yanuar Maulana</t>
  </si>
  <si>
    <t xml:space="preserve"> </t>
  </si>
  <si>
    <t>Date</t>
  </si>
  <si>
    <t>Holiday/Working Day</t>
  </si>
  <si>
    <t>Pemilu</t>
  </si>
  <si>
    <t>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</si>
</sst>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21]dd\ mmmm\ yyyy;@"/>
    <numFmt numFmtId="165" formatCode="dd/mmm/yyyy"/>
    <numFmt numFmtId="166" formatCode="hh:mm;@"/>
    <numFmt numFmtId="167" formatCode="[$-13809]dd\ mmmm\ yyyy;@"/>
  </numFmts>
  <fonts count="16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7" fillId="0" borderId="0"/>
    <xf numFmtId="0" fontId="12" fillId="0" borderId="0"/>
    <xf numFmtId="0" fontId="13" fillId="0" borderId="0"/>
    <xf numFmtId="0" fontId="4" fillId="0" borderId="0"/>
    <xf numFmtId="0" fontId="11" fillId="0" borderId="0"/>
    <xf numFmtId="0" fontId="14" fillId="0" borderId="0"/>
    <xf numFmtId="0" fontId="11" fillId="0" borderId="0"/>
    <xf numFmtId="0" fontId="3" fillId="0" borderId="0"/>
    <xf numFmtId="0" fontId="13" fillId="0" borderId="0"/>
    <xf numFmtId="0" fontId="15" fillId="0" borderId="0"/>
    <xf numFmtId="0" fontId="3" fillId="0" borderId="0"/>
    <xf numFmtId="0" fontId="3" fillId="0" borderId="0">
      <alignment horizontal="left" vertical="center" wrapText="1"/>
    </xf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left" vertical="center" wrapText="1"/>
    </xf>
  </cellStyleXfs>
  <cellXfs count="38">
    <xf numFmtId="0" fontId="0" fillId="0" borderId="0" xfId="0"/>
    <xf numFmtId="165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20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1" fontId="0" fillId="2" borderId="0" xfId="0" applyNumberFormat="1" applyFill="1" applyAlignment="1">
      <alignment horizontal="left" vertical="center"/>
    </xf>
    <xf numFmtId="0" fontId="9" fillId="3" borderId="1" xfId="0" applyFont="1" applyFill="1" applyBorder="1" applyAlignment="1">
      <alignment horizontal="center"/>
    </xf>
    <xf numFmtId="167" fontId="10" fillId="0" borderId="1" xfId="1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20" fontId="0" fillId="2" borderId="0" xfId="0" applyNumberFormat="1" applyFill="1" applyAlignment="1">
      <alignment vertical="center"/>
    </xf>
    <xf numFmtId="20" fontId="0" fillId="2" borderId="0" xfId="0" applyNumberFormat="1" applyFill="1" applyAlignment="1">
      <alignment horizontal="left" vertical="center" wrapText="1"/>
    </xf>
    <xf numFmtId="20" fontId="0" fillId="2" borderId="0" xfId="0" applyNumberFormat="1" applyFill="1" applyAlignment="1">
      <alignment horizontal="center" vertical="center" wrapText="1"/>
    </xf>
    <xf numFmtId="20" fontId="0" fillId="2" borderId="0" xfId="0" applyNumberFormat="1" applyFill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0" applyNumberFormat="1" applyFill="1" applyBorder="1" applyAlignment="1">
      <alignment horizontal="center" vertical="center"/>
    </xf>
    <xf numFmtId="20" fontId="0" fillId="4" borderId="1" xfId="0" applyNumberFormat="1" applyFill="1" applyBorder="1" applyAlignment="1">
      <alignment vertical="center"/>
    </xf>
    <xf numFmtId="20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left" vertical="center" wrapText="1"/>
    </xf>
  </cellXfs>
  <cellStyles count="19">
    <cellStyle name="Normal" xfId="0" builtinId="0"/>
    <cellStyle name="Normal 2" xfId="1" xr:uid="{00000000-0005-0000-0000-000001000000}"/>
    <cellStyle name="Normal 2 2" xfId="8" xr:uid="{687071DF-580D-40CD-BD4A-C1B585C86109}"/>
    <cellStyle name="Normal 2 2 2" xfId="17" xr:uid="{F17654C8-CD66-403D-8A7A-ED67DCAC32F1}"/>
    <cellStyle name="Normal 2 3" xfId="11" xr:uid="{7AEBCB60-736F-4A12-9978-15940C944B72}"/>
    <cellStyle name="Normal 2 3 2" xfId="16" xr:uid="{F6453805-0054-40BC-956A-49AB4C9C2416}"/>
    <cellStyle name="Normal 2 4" xfId="10" xr:uid="{38831185-DC4A-4A19-BFC4-F1ED357CB4D9}"/>
    <cellStyle name="Normal 2 5" xfId="13" xr:uid="{81C4B57D-DEAC-40D0-9C2D-07FA2BFCB4D4}"/>
    <cellStyle name="Normal 2 6" xfId="15" xr:uid="{ED0F1FF2-55D3-40C7-B47C-4B5FF223924E}"/>
    <cellStyle name="Normal 3" xfId="2" xr:uid="{665079B1-866B-4DF3-8CFC-64C4C579865A}"/>
    <cellStyle name="Normal 3 2" xfId="7" xr:uid="{DAA88B59-69C7-4B68-8AB5-D07A359AF0CF}"/>
    <cellStyle name="Normal 3 3" xfId="9" xr:uid="{7B5DDEAA-FBA3-486F-A649-10C731C42A4B}"/>
    <cellStyle name="Normal 4" xfId="3" xr:uid="{F03E968B-E97A-42A6-966B-A08C2DC85F1F}"/>
    <cellStyle name="Normal 5" xfId="4" xr:uid="{2B4A6FA6-3E4C-45E1-9E67-FE092F2524C9}"/>
    <cellStyle name="Normal 5 2" xfId="5" xr:uid="{110BAD20-F461-40EA-BCFE-54CDFAF5BE57}"/>
    <cellStyle name="Normal 6" xfId="6" xr:uid="{07F03F72-CBFA-462C-952C-2E7F382A0233}"/>
    <cellStyle name="Normal 7" xfId="14" xr:uid="{DE2BE908-9348-458B-805A-BAF7AC1F52A4}"/>
    <cellStyle name="Table Text" xfId="12" xr:uid="{82817DEB-E6A3-4CBE-8CD8-C959E937F205}"/>
    <cellStyle name="Table Text 2" xfId="18" xr:uid="{5ABEDF4E-5C93-4FC3-9076-3345605D5414}"/>
  </cellStyles>
  <dxfs count="5">
    <dxf>
      <fill>
        <patternFill patternType="solid"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890041</xdr:colOff>
      <xdr:row>44</xdr:row>
      <xdr:rowOff>31230</xdr:rowOff>
    </xdr:from>
    <xdr:to>
      <xdr:col>3</xdr:col>
      <xdr:colOff>78074</xdr:colOff>
      <xdr:row>47</xdr:row>
      <xdr:rowOff>147078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4A821-E4DE-7FA0-35BA-89770DD1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9016" y="8275820"/>
          <a:ext cx="1296025" cy="677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J51"/>
  <sheetViews>
    <sheetView tabSelected="1" topLeftCell="A35" zoomScale="61" zoomScaleNormal="61" workbookViewId="0">
      <selection activeCell="H6" sqref="H6:H36"/>
    </sheetView>
  </sheetViews>
  <sheetFormatPr defaultColWidth="9.140625" defaultRowHeight="15"/>
  <cols>
    <col min="1" max="1" width="9.140625" style="4"/>
    <col min="2" max="2" width="14.28515625" style="4" bestFit="1" customWidth="1"/>
    <col min="3" max="3" width="17.28515625" style="4" customWidth="1"/>
    <col min="4" max="4" width="20.85546875" style="4" customWidth="1"/>
    <col min="5" max="5" width="13.28515625" style="4" customWidth="1"/>
    <col min="6" max="6" width="18.42578125" style="4" customWidth="1"/>
    <col min="7" max="7" width="16.42578125" style="4" customWidth="1"/>
    <col min="8" max="8" width="60.42578125" style="13" customWidth="1"/>
    <col min="9" max="9" width="23.42578125" style="4" customWidth="1"/>
    <col min="10" max="10" width="31.140625" style="4" customWidth="1"/>
    <col min="11" max="16384" width="9.140625" style="4"/>
  </cols>
  <sheetData>
    <row r="4" spans="2:10">
      <c r="B4" s="5"/>
      <c r="C4" s="5"/>
    </row>
    <row r="5" spans="2:10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17" t="s">
        <v>6</v>
      </c>
      <c r="I5" s="3" t="s">
        <v>7</v>
      </c>
      <c r="J5" s="9" t="s">
        <v>8</v>
      </c>
    </row>
    <row r="6" spans="2:10">
      <c r="B6" s="25" t="s">
        <v>9</v>
      </c>
      <c r="C6" s="18" t="s">
        <v>10</v>
      </c>
      <c r="D6" s="18">
        <v>46049</v>
      </c>
      <c r="E6" s="10">
        <v>0.33333333333333298</v>
      </c>
      <c r="F6" s="10">
        <v>0.70833333333333304</v>
      </c>
      <c r="G6" s="10">
        <f>F6-E6</f>
        <v>0.37500000000000006</v>
      </c>
      <c r="H6" s="27" t="s">
        <v>11</v>
      </c>
      <c r="I6" s="19" t="s">
        <v>12</v>
      </c>
      <c r="J6" s="26"/>
    </row>
    <row r="7" spans="2:10">
      <c r="B7" s="25" t="s">
        <v>9</v>
      </c>
      <c r="C7" s="18" t="s">
        <v>10</v>
      </c>
      <c r="D7" s="18">
        <v>46050</v>
      </c>
      <c r="E7" s="10">
        <v>0.33333333333333298</v>
      </c>
      <c r="F7" s="10">
        <v>0.70833333333333304</v>
      </c>
      <c r="G7" s="10">
        <f>F7-E7</f>
        <v>0.37500000000000006</v>
      </c>
      <c r="H7" s="27" t="s">
        <v>13</v>
      </c>
      <c r="I7" s="19" t="s">
        <v>12</v>
      </c>
      <c r="J7" s="26"/>
    </row>
    <row r="8" spans="2:10">
      <c r="B8" s="25" t="s">
        <v>9</v>
      </c>
      <c r="C8" s="18" t="s">
        <v>10</v>
      </c>
      <c r="D8" s="18">
        <v>46051</v>
      </c>
      <c r="E8" s="10">
        <v>0.33333333333333298</v>
      </c>
      <c r="F8" s="10">
        <v>0.70833333333333304</v>
      </c>
      <c r="G8" s="10">
        <f>F8-E8</f>
        <v>0.37500000000000006</v>
      </c>
      <c r="H8" s="27" t="s">
        <v>14</v>
      </c>
      <c r="I8" s="19" t="s">
        <v>12</v>
      </c>
      <c r="J8" s="26"/>
    </row>
    <row r="9" spans="2:10">
      <c r="B9" s="25" t="s">
        <v>9</v>
      </c>
      <c r="C9" s="18" t="s">
        <v>10</v>
      </c>
      <c r="D9" s="18">
        <v>46052</v>
      </c>
      <c r="E9" s="10">
        <v>0.33333333333333298</v>
      </c>
      <c r="F9" s="10">
        <v>0.70833333333333304</v>
      </c>
      <c r="G9" s="10">
        <f>F9-E9</f>
        <v>0.37500000000000006</v>
      </c>
      <c r="H9" s="28" t="s">
        <v>15</v>
      </c>
      <c r="I9" s="19" t="s">
        <v>12</v>
      </c>
      <c r="J9" s="26"/>
    </row>
    <row r="10" spans="2:10">
      <c r="B10" s="30" t="s">
        <v>9</v>
      </c>
      <c r="C10" s="31" t="s">
        <v>10</v>
      </c>
      <c r="D10" s="31">
        <v>46053</v>
      </c>
      <c r="E10" s="32"/>
      <c r="F10" s="32"/>
      <c r="G10" s="32"/>
      <c r="H10" s="35"/>
      <c r="I10" s="33" t="s">
        <v>12</v>
      </c>
      <c r="J10" s="36" t="s">
        <v>16</v>
      </c>
    </row>
    <row r="11" spans="2:10" ht="15" customHeight="1">
      <c r="B11" s="30" t="s">
        <v>9</v>
      </c>
      <c r="C11" s="31" t="s">
        <v>10</v>
      </c>
      <c r="D11" s="31">
        <v>46054</v>
      </c>
      <c r="E11" s="32"/>
      <c r="F11" s="32"/>
      <c r="G11" s="32"/>
      <c r="H11" s="35"/>
      <c r="I11" s="33" t="s">
        <v>12</v>
      </c>
      <c r="J11" s="34" t="s">
        <v>16</v>
      </c>
    </row>
    <row r="12" spans="2:10" ht="15" customHeight="1">
      <c r="B12" s="25" t="s">
        <v>9</v>
      </c>
      <c r="C12" s="18" t="s">
        <v>10</v>
      </c>
      <c r="D12" s="18">
        <v>46055</v>
      </c>
      <c r="E12" s="10">
        <v>0.33333333333333298</v>
      </c>
      <c r="F12" s="10">
        <v>0.70833333333333304</v>
      </c>
      <c r="G12" s="10">
        <f>F12-E12</f>
        <v>0.37500000000000006</v>
      </c>
      <c r="H12" s="27" t="s">
        <v>17</v>
      </c>
      <c r="I12" s="19" t="s">
        <v>12</v>
      </c>
      <c r="J12" s="29"/>
    </row>
    <row r="13" spans="2:10">
      <c r="B13" s="25" t="s">
        <v>9</v>
      </c>
      <c r="C13" s="18" t="s">
        <v>10</v>
      </c>
      <c r="D13" s="18">
        <v>46056</v>
      </c>
      <c r="E13" s="10">
        <v>0.33333333333333298</v>
      </c>
      <c r="F13" s="10">
        <v>0.70833333333333304</v>
      </c>
      <c r="G13" s="10">
        <f>F13-E13</f>
        <v>0.37500000000000006</v>
      </c>
      <c r="H13" s="28" t="s">
        <v>18</v>
      </c>
      <c r="I13" s="19" t="s">
        <v>12</v>
      </c>
      <c r="J13" s="29"/>
    </row>
    <row r="14" spans="2:10">
      <c r="B14" s="25" t="s">
        <v>9</v>
      </c>
      <c r="C14" s="18" t="s">
        <v>10</v>
      </c>
      <c r="D14" s="18">
        <v>46057</v>
      </c>
      <c r="E14" s="10">
        <v>0.33333333333333298</v>
      </c>
      <c r="F14" s="10">
        <v>0.70833333333333304</v>
      </c>
      <c r="G14" s="10">
        <f>F14-E14</f>
        <v>0.37500000000000006</v>
      </c>
      <c r="H14" s="25" t="s">
        <v>19</v>
      </c>
      <c r="I14" s="19" t="s">
        <v>12</v>
      </c>
      <c r="J14" s="29"/>
    </row>
    <row r="15" spans="2:10" ht="15" customHeight="1">
      <c r="B15" s="25" t="s">
        <v>9</v>
      </c>
      <c r="C15" s="18" t="s">
        <v>10</v>
      </c>
      <c r="D15" s="18">
        <v>46058</v>
      </c>
      <c r="E15" s="10">
        <v>0.33333333333333298</v>
      </c>
      <c r="F15" s="10">
        <v>0.70833333333333304</v>
      </c>
      <c r="G15" s="10">
        <f>F15-E15</f>
        <v>0.37500000000000006</v>
      </c>
      <c r="H15" s="25" t="s">
        <v>20</v>
      </c>
      <c r="I15" s="19" t="s">
        <v>12</v>
      </c>
      <c r="J15" s="26"/>
    </row>
    <row r="16" spans="2:10">
      <c r="B16" s="25" t="s">
        <v>9</v>
      </c>
      <c r="C16" s="18" t="s">
        <v>10</v>
      </c>
      <c r="D16" s="18">
        <v>46059</v>
      </c>
      <c r="E16" s="10">
        <v>0.33333333333333298</v>
      </c>
      <c r="F16" s="10">
        <v>0.70833333333333304</v>
      </c>
      <c r="G16" s="10">
        <f>F16-E16</f>
        <v>0.37500000000000006</v>
      </c>
      <c r="H16" s="25" t="s">
        <v>19</v>
      </c>
      <c r="I16" s="19" t="s">
        <v>12</v>
      </c>
      <c r="J16" s="26"/>
    </row>
    <row r="17" spans="2:10">
      <c r="B17" s="30" t="s">
        <v>9</v>
      </c>
      <c r="C17" s="31" t="s">
        <v>10</v>
      </c>
      <c r="D17" s="31">
        <v>46060</v>
      </c>
      <c r="E17" s="32"/>
      <c r="F17" s="32"/>
      <c r="G17" s="32"/>
      <c r="H17" s="30"/>
      <c r="I17" s="33" t="s">
        <v>12</v>
      </c>
      <c r="J17" s="36" t="s">
        <v>16</v>
      </c>
    </row>
    <row r="18" spans="2:10" ht="15" customHeight="1">
      <c r="B18" s="30" t="s">
        <v>9</v>
      </c>
      <c r="C18" s="31" t="s">
        <v>10</v>
      </c>
      <c r="D18" s="31">
        <v>46061</v>
      </c>
      <c r="E18" s="32"/>
      <c r="F18" s="32"/>
      <c r="G18" s="32"/>
      <c r="H18" s="30"/>
      <c r="I18" s="33" t="s">
        <v>12</v>
      </c>
      <c r="J18" s="34" t="s">
        <v>16</v>
      </c>
    </row>
    <row r="19" spans="2:10" ht="15" customHeight="1">
      <c r="B19" s="25" t="s">
        <v>9</v>
      </c>
      <c r="C19" s="18" t="s">
        <v>10</v>
      </c>
      <c r="D19" s="18">
        <v>46062</v>
      </c>
      <c r="E19" s="10">
        <v>0.33333333333333298</v>
      </c>
      <c r="F19" s="10">
        <v>0.70833333333333304</v>
      </c>
      <c r="G19" s="10">
        <f>F19-E19</f>
        <v>0.37500000000000006</v>
      </c>
      <c r="H19" s="25" t="s">
        <v>21</v>
      </c>
      <c r="I19" s="19" t="s">
        <v>12</v>
      </c>
      <c r="J19" s="29"/>
    </row>
    <row r="20" spans="2:10">
      <c r="B20" s="25" t="s">
        <v>9</v>
      </c>
      <c r="C20" s="18" t="s">
        <v>10</v>
      </c>
      <c r="D20" s="18">
        <v>46063</v>
      </c>
      <c r="E20" s="10">
        <v>0.33333333333333298</v>
      </c>
      <c r="F20" s="10">
        <v>0.70833333333333304</v>
      </c>
      <c r="G20" s="10">
        <f>F20-E20</f>
        <v>0.37500000000000006</v>
      </c>
      <c r="H20" s="25" t="s">
        <v>21</v>
      </c>
      <c r="I20" s="19" t="s">
        <v>12</v>
      </c>
      <c r="J20" s="29"/>
    </row>
    <row r="21" spans="2:10">
      <c r="B21" s="25" t="s">
        <v>9</v>
      </c>
      <c r="C21" s="18" t="s">
        <v>10</v>
      </c>
      <c r="D21" s="18">
        <v>46064</v>
      </c>
      <c r="E21" s="10">
        <v>0.33333333333333298</v>
      </c>
      <c r="F21" s="10">
        <v>0.70833333333333304</v>
      </c>
      <c r="G21" s="10">
        <f>F21-E21</f>
        <v>0.37500000000000006</v>
      </c>
      <c r="H21" s="25" t="s">
        <v>22</v>
      </c>
      <c r="I21" s="19" t="s">
        <v>12</v>
      </c>
      <c r="J21" s="29"/>
    </row>
    <row r="22" spans="2:10">
      <c r="B22" s="25" t="s">
        <v>9</v>
      </c>
      <c r="C22" s="18" t="s">
        <v>10</v>
      </c>
      <c r="D22" s="18">
        <v>46065</v>
      </c>
      <c r="E22" s="10">
        <v>0.33333333333333298</v>
      </c>
      <c r="F22" s="10">
        <v>0.70833333333333304</v>
      </c>
      <c r="G22" s="10">
        <f>F22-E22</f>
        <v>0.37500000000000006</v>
      </c>
      <c r="H22" s="25" t="s">
        <v>23</v>
      </c>
      <c r="I22" s="19" t="s">
        <v>12</v>
      </c>
      <c r="J22" s="26"/>
    </row>
    <row r="23" spans="2:10">
      <c r="B23" s="25" t="s">
        <v>9</v>
      </c>
      <c r="C23" s="18" t="s">
        <v>10</v>
      </c>
      <c r="D23" s="18">
        <v>46066</v>
      </c>
      <c r="E23" s="10">
        <v>0.33333333333333298</v>
      </c>
      <c r="F23" s="10">
        <v>0.70833333333333304</v>
      </c>
      <c r="G23" s="10">
        <f>F23-E23</f>
        <v>0.37500000000000006</v>
      </c>
      <c r="H23" s="25" t="s">
        <v>24</v>
      </c>
      <c r="I23" s="19" t="s">
        <v>12</v>
      </c>
      <c r="J23" s="26"/>
    </row>
    <row r="24" spans="2:10">
      <c r="B24" s="30" t="s">
        <v>9</v>
      </c>
      <c r="C24" s="31" t="s">
        <v>10</v>
      </c>
      <c r="D24" s="31">
        <v>46067</v>
      </c>
      <c r="E24" s="32"/>
      <c r="F24" s="32"/>
      <c r="G24" s="32"/>
      <c r="H24" s="30"/>
      <c r="I24" s="33" t="s">
        <v>12</v>
      </c>
      <c r="J24" s="36" t="s">
        <v>16</v>
      </c>
    </row>
    <row r="25" spans="2:10">
      <c r="B25" s="30" t="s">
        <v>9</v>
      </c>
      <c r="C25" s="31" t="s">
        <v>10</v>
      </c>
      <c r="D25" s="31">
        <v>46068</v>
      </c>
      <c r="E25" s="32"/>
      <c r="F25" s="32"/>
      <c r="G25" s="32"/>
      <c r="H25" s="30"/>
      <c r="I25" s="33" t="s">
        <v>12</v>
      </c>
      <c r="J25" s="34" t="s">
        <v>16</v>
      </c>
    </row>
    <row r="26" spans="2:10">
      <c r="B26" s="25" t="s">
        <v>9</v>
      </c>
      <c r="C26" s="18" t="s">
        <v>10</v>
      </c>
      <c r="D26" s="18">
        <v>46069</v>
      </c>
      <c r="E26" s="10">
        <v>0.33333333333333298</v>
      </c>
      <c r="F26" s="10">
        <v>0.70833333333333304</v>
      </c>
      <c r="G26" s="10">
        <f>F26-E26</f>
        <v>0.37500000000000006</v>
      </c>
      <c r="H26" s="27" t="s">
        <v>25</v>
      </c>
      <c r="I26" s="19" t="s">
        <v>12</v>
      </c>
      <c r="J26" s="29"/>
    </row>
    <row r="27" spans="2:10">
      <c r="B27" s="30" t="s">
        <v>9</v>
      </c>
      <c r="C27" s="31" t="s">
        <v>10</v>
      </c>
      <c r="D27" s="31">
        <v>46070</v>
      </c>
      <c r="E27" s="32"/>
      <c r="F27" s="32"/>
      <c r="G27" s="32"/>
      <c r="H27" s="37"/>
      <c r="I27" s="33" t="s">
        <v>12</v>
      </c>
      <c r="J27" s="34" t="s">
        <v>16</v>
      </c>
    </row>
    <row r="28" spans="2:10">
      <c r="B28" s="25" t="s">
        <v>9</v>
      </c>
      <c r="C28" s="18" t="s">
        <v>10</v>
      </c>
      <c r="D28" s="18">
        <v>46071</v>
      </c>
      <c r="E28" s="10">
        <v>0.33333333333333298</v>
      </c>
      <c r="F28" s="10">
        <v>0.70833333333333304</v>
      </c>
      <c r="G28" s="10">
        <f>F28-E28</f>
        <v>0.37500000000000006</v>
      </c>
      <c r="H28" s="25" t="s">
        <v>26</v>
      </c>
      <c r="I28" s="19" t="s">
        <v>12</v>
      </c>
      <c r="J28" s="29"/>
    </row>
    <row r="29" spans="2:10">
      <c r="B29" s="25" t="s">
        <v>9</v>
      </c>
      <c r="C29" s="18" t="s">
        <v>10</v>
      </c>
      <c r="D29" s="18">
        <v>46072</v>
      </c>
      <c r="E29" s="10">
        <v>0.33333333333333298</v>
      </c>
      <c r="F29" s="10">
        <v>0.70833333333333304</v>
      </c>
      <c r="G29" s="10">
        <f>F29-E29</f>
        <v>0.37500000000000006</v>
      </c>
      <c r="H29" s="25" t="s">
        <v>27</v>
      </c>
      <c r="I29" s="19" t="s">
        <v>12</v>
      </c>
      <c r="J29" s="26"/>
    </row>
    <row r="30" spans="2:10">
      <c r="B30" s="25" t="s">
        <v>9</v>
      </c>
      <c r="C30" s="18" t="s">
        <v>10</v>
      </c>
      <c r="D30" s="18">
        <v>46073</v>
      </c>
      <c r="E30" s="10">
        <v>0.33333333333333298</v>
      </c>
      <c r="F30" s="10">
        <v>0.70833333333333304</v>
      </c>
      <c r="G30" s="10">
        <f>F30-E30</f>
        <v>0.37500000000000006</v>
      </c>
      <c r="H30" s="25" t="s">
        <v>28</v>
      </c>
      <c r="I30" s="19" t="s">
        <v>12</v>
      </c>
      <c r="J30" s="26"/>
    </row>
    <row r="31" spans="2:10">
      <c r="B31" s="30" t="s">
        <v>9</v>
      </c>
      <c r="C31" s="31" t="s">
        <v>10</v>
      </c>
      <c r="D31" s="31">
        <v>46074</v>
      </c>
      <c r="E31" s="32"/>
      <c r="F31" s="32"/>
      <c r="G31" s="32"/>
      <c r="H31" s="35"/>
      <c r="I31" s="33" t="s">
        <v>12</v>
      </c>
      <c r="J31" s="36" t="s">
        <v>16</v>
      </c>
    </row>
    <row r="32" spans="2:10">
      <c r="B32" s="30" t="s">
        <v>9</v>
      </c>
      <c r="C32" s="31" t="s">
        <v>10</v>
      </c>
      <c r="D32" s="31">
        <v>46075</v>
      </c>
      <c r="E32" s="32"/>
      <c r="F32" s="32"/>
      <c r="G32" s="32"/>
      <c r="H32" s="35"/>
      <c r="I32" s="33" t="s">
        <v>12</v>
      </c>
      <c r="J32" s="34" t="s">
        <v>16</v>
      </c>
    </row>
    <row r="33" spans="2:10">
      <c r="B33" s="25" t="s">
        <v>9</v>
      </c>
      <c r="C33" s="18" t="s">
        <v>10</v>
      </c>
      <c r="D33" s="18">
        <v>46076</v>
      </c>
      <c r="E33" s="10">
        <v>0.33333333333333298</v>
      </c>
      <c r="F33" s="10">
        <v>0.70833333333333304</v>
      </c>
      <c r="G33" s="10">
        <f>F33-E33</f>
        <v>0.37500000000000006</v>
      </c>
      <c r="H33" s="25" t="s">
        <v>29</v>
      </c>
      <c r="I33" s="19" t="s">
        <v>12</v>
      </c>
      <c r="J33" s="29"/>
    </row>
    <row r="34" spans="2:10">
      <c r="B34" s="25" t="s">
        <v>9</v>
      </c>
      <c r="C34" s="18" t="s">
        <v>10</v>
      </c>
      <c r="D34" s="18">
        <v>46077</v>
      </c>
      <c r="E34" s="10">
        <v>0.33333333333333298</v>
      </c>
      <c r="F34" s="10">
        <v>0.70833333333333304</v>
      </c>
      <c r="G34" s="10">
        <f>F34-E34</f>
        <v>0.37500000000000006</v>
      </c>
      <c r="H34" s="25" t="s">
        <v>30</v>
      </c>
      <c r="I34" s="19" t="s">
        <v>12</v>
      </c>
      <c r="J34" s="29"/>
    </row>
    <row r="35" spans="2:10">
      <c r="B35" s="25" t="s">
        <v>9</v>
      </c>
      <c r="C35" s="18" t="s">
        <v>10</v>
      </c>
      <c r="D35" s="18">
        <v>46078</v>
      </c>
      <c r="E35" s="10">
        <v>0.33333333333333298</v>
      </c>
      <c r="F35" s="10">
        <v>0.70833333333333304</v>
      </c>
      <c r="G35" s="10">
        <f>F35-E35</f>
        <v>0.37500000000000006</v>
      </c>
      <c r="H35" s="25" t="s">
        <v>31</v>
      </c>
      <c r="I35" s="19" t="s">
        <v>12</v>
      </c>
      <c r="J35" s="29"/>
    </row>
    <row r="36" spans="2:10">
      <c r="B36" s="25" t="s">
        <v>9</v>
      </c>
      <c r="C36" s="18" t="s">
        <v>10</v>
      </c>
      <c r="D36" s="18">
        <v>46079</v>
      </c>
      <c r="E36" s="10">
        <v>0.33333333333333298</v>
      </c>
      <c r="F36" s="10">
        <v>0.70833333333333304</v>
      </c>
      <c r="G36" s="10">
        <f>F36-E36</f>
        <v>0.37500000000000006</v>
      </c>
      <c r="H36" s="25" t="s">
        <v>32</v>
      </c>
      <c r="I36" s="19" t="s">
        <v>12</v>
      </c>
      <c r="J36" s="29"/>
    </row>
    <row r="37" spans="2:10">
      <c r="B37" s="20"/>
      <c r="C37" s="20"/>
      <c r="D37" s="20"/>
      <c r="E37" s="21"/>
      <c r="F37" s="21"/>
      <c r="G37" s="21"/>
      <c r="H37"/>
      <c r="I37" s="23"/>
    </row>
    <row r="38" spans="2:10">
      <c r="B38" s="20"/>
      <c r="C38" s="20"/>
      <c r="D38" s="20"/>
      <c r="E38" s="21"/>
      <c r="F38" s="21"/>
      <c r="G38" s="21"/>
      <c r="H38" s="22"/>
      <c r="I38" s="23"/>
      <c r="J38" s="24"/>
    </row>
    <row r="39" spans="2:10">
      <c r="B39" s="12" t="s">
        <v>33</v>
      </c>
      <c r="D39" s="14">
        <f>COUNT(D6:D35)-COUNTIF(J6:J36,"Libur")</f>
        <v>21</v>
      </c>
    </row>
    <row r="40" spans="2:10">
      <c r="B40" s="12" t="s">
        <v>34</v>
      </c>
      <c r="D40" s="14">
        <v>0</v>
      </c>
    </row>
    <row r="41" spans="2:10" ht="15" customHeight="1">
      <c r="B41" s="12" t="s">
        <v>35</v>
      </c>
      <c r="D41" s="14"/>
    </row>
    <row r="42" spans="2:10" ht="15" customHeight="1">
      <c r="B42" s="12" t="s">
        <v>36</v>
      </c>
      <c r="D42" s="14">
        <f>D39+D40-D41</f>
        <v>21</v>
      </c>
    </row>
    <row r="43" spans="2:10" ht="15" customHeight="1">
      <c r="B43" s="12"/>
    </row>
    <row r="44" spans="2:10" ht="15" customHeight="1">
      <c r="C44" s="1" t="s">
        <v>37</v>
      </c>
      <c r="D44" s="6"/>
      <c r="E44" s="6"/>
      <c r="F44" s="2"/>
      <c r="G44" s="2"/>
      <c r="H44" s="2" t="s">
        <v>38</v>
      </c>
      <c r="J44" s="2" t="s">
        <v>39</v>
      </c>
    </row>
    <row r="45" spans="2:10" ht="15" customHeight="1">
      <c r="C45" s="7"/>
      <c r="D45" s="8"/>
      <c r="E45" s="8"/>
      <c r="F45" s="5"/>
      <c r="G45" s="5"/>
      <c r="J45" s="5"/>
    </row>
    <row r="46" spans="2:10" ht="15" customHeight="1">
      <c r="C46" s="7"/>
      <c r="D46" s="8"/>
      <c r="E46" s="8"/>
      <c r="F46" s="5"/>
      <c r="G46" s="5"/>
      <c r="J46" s="5"/>
    </row>
    <row r="47" spans="2:10" ht="15" customHeight="1">
      <c r="D47" s="6"/>
      <c r="E47" s="6"/>
      <c r="G47" s="2"/>
      <c r="H47" s="13" t="s">
        <v>40</v>
      </c>
    </row>
    <row r="48" spans="2:10" ht="15" customHeight="1">
      <c r="D48" s="5"/>
      <c r="E48" s="5"/>
      <c r="F48" s="5"/>
      <c r="G48" s="5"/>
      <c r="J48" s="5"/>
    </row>
    <row r="49" spans="3:10" ht="15" customHeight="1">
      <c r="C49" s="1" t="s">
        <v>10</v>
      </c>
      <c r="F49" s="2"/>
      <c r="H49" s="2" t="s">
        <v>41</v>
      </c>
      <c r="J49" s="2" t="s">
        <v>12</v>
      </c>
    </row>
    <row r="50" spans="3:10" ht="15" customHeight="1">
      <c r="C50" s="5" t="s">
        <v>42</v>
      </c>
    </row>
    <row r="51" spans="3:10" ht="15" customHeight="1"/>
  </sheetData>
  <phoneticPr fontId="8" type="noConversion"/>
  <pageMargins left="0.7" right="0.7" top="0.75" bottom="0.75" header="0.3" footer="0.3"/>
  <pageSetup paperSize="9" scale="5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4868C1CC-45B0-4941-BA2F-64E61CA59858}">
            <xm:f>IF(OR(WEEKDAY($D38-DATE(1900,1,1),1)=6,WEEKDAY($D38-DATE(1900,1,1),1)=7,ISNUMBER(MATCH($D38,Holiday!$A$2:$A$17,0))),TRUE,FALSE)</xm:f>
            <x14:dxf>
              <fill>
                <patternFill>
                  <bgColor rgb="FFFFC000"/>
                </patternFill>
              </fill>
            </x14:dxf>
          </x14:cfRule>
          <xm:sqref>B38:J38</xm:sqref>
        </x14:conditionalFormatting>
        <x14:conditionalFormatting xmlns:xm="http://schemas.microsoft.com/office/excel/2006/main">
          <x14:cfRule type="expression" priority="1" id="{9ABA97C8-D6EB-4B7C-8421-06CA7B1979E3}">
            <xm:f>IF(OR(WEEKDAY($D6-DATE(1900,1,1),1)=6,WEEKDAY($D6-DATE(1900,1,1),1)=7,ISNUMBER(MATCH($D6,Holiday!$A$2:$A$17,0))),TRUE,FALSE)</xm:f>
            <x14:dxf>
              <fill>
                <patternFill>
                  <bgColor rgb="FFFFC000"/>
                </patternFill>
              </fill>
            </x14:dxf>
          </x14:cfRule>
          <xm:sqref>C6:G36</xm:sqref>
        </x14:conditionalFormatting>
        <x14:conditionalFormatting xmlns:xm="http://schemas.microsoft.com/office/excel/2006/main">
          <x14:cfRule type="expression" priority="5" id="{28B0DD15-AE8D-4593-ADA5-9E75F458A19D}">
            <xm:f>IF(OR(WEEKDAY($D6-DATE(1900,1,1),1)=6,WEEKDAY($D6-DATE(1900,1,1),1)=7,ISNUMBER(MATCH($D6,Holiday!$A$2:$A$17,0))),TRUE,FALSE)</xm:f>
            <x14:dxf>
              <fill>
                <patternFill>
                  <bgColor rgb="FFFFC000"/>
                </patternFill>
              </fill>
            </x14:dxf>
          </x14:cfRule>
          <xm:sqref>I6:I37 B37:G37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4"/>
  <sheetViews>
    <sheetView workbookViewId="0">
      <selection activeCell="E7" sqref="E7"/>
    </sheetView>
  </sheetViews>
  <sheetFormatPr defaultColWidth="11" defaultRowHeight="15"/>
  <cols>
    <col min="1" max="1" width="20" customWidth="1"/>
    <col min="2" max="2" width="31.28515625" customWidth="1"/>
  </cols>
  <sheetData>
    <row r="1" spans="1:2" ht="18.75">
      <c r="A1" s="15" t="s">
        <v>43</v>
      </c>
      <c r="B1" s="15" t="s">
        <v>44</v>
      </c>
    </row>
    <row r="2" spans="1:2">
      <c r="A2" s="18">
        <v>45623</v>
      </c>
      <c r="B2" s="11" t="s">
        <v>45</v>
      </c>
    </row>
    <row r="3" spans="1:2">
      <c r="A3" s="16">
        <v>45651</v>
      </c>
      <c r="B3" s="11" t="s">
        <v>46</v>
      </c>
    </row>
    <row r="4" spans="1:2">
      <c r="A4" s="16"/>
      <c r="B4" s="11"/>
    </row>
    <row r="5" spans="1:2">
      <c r="A5" s="16"/>
      <c r="B5" s="11"/>
    </row>
    <row r="6" spans="1:2">
      <c r="A6" s="16"/>
      <c r="B6" s="11"/>
    </row>
    <row r="7" spans="1:2">
      <c r="A7" s="16"/>
      <c r="B7" s="11"/>
    </row>
    <row r="8" spans="1:2">
      <c r="A8" s="16"/>
      <c r="B8" s="11"/>
    </row>
    <row r="9" spans="1:2">
      <c r="A9" s="16"/>
      <c r="B9" s="11"/>
    </row>
    <row r="10" spans="1:2">
      <c r="A10" s="16"/>
      <c r="B10" s="11"/>
    </row>
    <row r="11" spans="1:2">
      <c r="A11" s="16"/>
      <c r="B11" s="11"/>
    </row>
    <row r="12" spans="1:2">
      <c r="A12" s="16"/>
      <c r="B12" s="11"/>
    </row>
    <row r="13" spans="1:2">
      <c r="A13" s="16"/>
      <c r="B13" s="11"/>
    </row>
    <row r="14" spans="1:2">
      <c r="A14" s="16"/>
      <c r="B14" s="11"/>
    </row>
  </sheetData>
  <conditionalFormatting sqref="A2">
    <cfRule type="expression" dxfId="1" priority="1">
      <formula>IF(OR(WEEKDAY($D2-DATE(1900,1,1),1)=6,WEEKDAY($D2-DATE(1900,1,1),1)=7,ISNUMBER(MATCH($D2,$A$2:$A$17,0))),TRUE,FALSE)</formula>
    </cfRule>
  </conditionalFormatting>
  <conditionalFormatting sqref="A3:A14">
    <cfRule type="expression" dxfId="0" priority="2">
      <formula>IF($G3="Weekend",TRUE,FALSE)</formula>
    </cfRule>
  </conditionalFormatting>
  <pageMargins left="0.7" right="0.7" top="0.75" bottom="0.75" header="0.3" footer="0.3"/>
  <pageSetup paperSize="9" orientation="landscape" r:id="rId1"/>
</worksheet>
</file>

<file path=docMetadata/LabelInfo.xml><?xml version="1.0" encoding="utf-8"?>
<clbl:labelList xmlns:clbl="http://schemas.microsoft.com/office/2020/mipLabelMetadata">
  <clbl:label id="{4dd5b52f-cb3f-4788-91d4-00b62d1cf66d}" enabled="1" method="Privileged" siteId="{9e70acd9-e260-4a80-9afa-fce53e22fc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2019-03-08T03:40:17Z</dcterms:created>
  <dcterms:modified xsi:type="dcterms:W3CDTF">2026-05-25T15:44:29Z</dcterms:modified>
  <cp:category/>
  <cp:contentStatus/>
</cp:coreProperties>
</file>